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Srinidi\Desktop\"/>
    </mc:Choice>
  </mc:AlternateContent>
  <xr:revisionPtr revIDLastSave="0" documentId="13_ncr:20001_{72B31D7B-9306-43FA-B71B-5F6533EC73B6}" xr6:coauthVersionLast="47" xr6:coauthVersionMax="47" xr10:uidLastSave="{00000000-0000-0000-0000-000000000000}"/>
  <bookViews>
    <workbookView xWindow="-98" yWindow="-98" windowWidth="21795" windowHeight="12975" firstSheet="3" activeTab="7" xr2:uid="{00000000-000D-0000-FFFF-FFFF00000000}"/>
  </bookViews>
  <sheets>
    <sheet name="Read Me" sheetId="1" r:id="rId1"/>
    <sheet name="Game Protocol" sheetId="2" r:id="rId2"/>
    <sheet name="SUS Responses" sheetId="3" r:id="rId3"/>
    <sheet name="NASA-TLX Responses" sheetId="4" r:id="rId4"/>
    <sheet name="Primary Task Metrics" sheetId="5" r:id="rId5"/>
    <sheet name="Summary" sheetId="6" r:id="rId6"/>
    <sheet name="Scoring Guide" sheetId="7" r:id="rId7"/>
    <sheet name="Open Feedback" sheetId="8" r:id="rId8"/>
  </sheets>
  <definedNames>
    <definedName name="_xlnm._FilterDatabase" localSheetId="4" hidden="1">'Primary Task Metrics'!$A$1:$J$1</definedName>
  </definedNames>
  <calcPr calcId="191029" forceFullCalc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2" i="5" l="1"/>
  <c r="I11" i="5"/>
  <c r="I10" i="5"/>
  <c r="I9" i="5"/>
  <c r="I8" i="5"/>
  <c r="I7" i="5"/>
  <c r="I6" i="5"/>
  <c r="I5" i="5"/>
  <c r="I4" i="5"/>
  <c r="I3" i="5"/>
  <c r="K9" i="4"/>
  <c r="J9" i="4"/>
  <c r="I9" i="4"/>
  <c r="H9" i="4"/>
  <c r="G9" i="4"/>
  <c r="F9" i="4"/>
  <c r="E9" i="4"/>
  <c r="D9" i="4"/>
  <c r="C9" i="4"/>
  <c r="B9" i="4"/>
  <c r="K13" i="3"/>
  <c r="J13" i="3"/>
  <c r="I13" i="3"/>
  <c r="H13" i="3"/>
  <c r="G13" i="3"/>
  <c r="F13" i="3"/>
  <c r="E13" i="3"/>
  <c r="D13" i="3"/>
  <c r="C13" i="3"/>
  <c r="B13" i="3"/>
  <c r="B11" i="4" l="1"/>
  <c r="B10" i="4"/>
  <c r="B15" i="3"/>
  <c r="B14" i="3"/>
</calcChain>
</file>

<file path=xl/sharedStrings.xml><?xml version="1.0" encoding="utf-8"?>
<sst xmlns="http://schemas.openxmlformats.org/spreadsheetml/2006/main" count="300" uniqueCount="254">
  <si>
    <t>Participant ID</t>
  </si>
  <si>
    <t>Chapters / scope</t>
  </si>
  <si>
    <t>Completed scope? (0=No, 1=Yes)</t>
  </si>
  <si>
    <t>Total time (seconds)</t>
  </si>
  <si>
    <t>Errors / wrong actions</t>
  </si>
  <si>
    <t>Hints used (count)</t>
  </si>
  <si>
    <t>Pre-test score (if used)</t>
  </si>
  <si>
    <t>Post-test score (if used)</t>
  </si>
  <si>
    <t>Normalized learning gain (if valid)</t>
  </si>
  <si>
    <t>Notes (anonymous; no identifying info)</t>
  </si>
  <si>
    <t>P01</t>
  </si>
  <si>
    <t>Chapter 1 (only P01 specified; scope needs verification)</t>
  </si>
  <si>
    <t>P02</t>
  </si>
  <si>
    <t>Scope not recorded</t>
  </si>
  <si>
    <t>P03</t>
  </si>
  <si>
    <t>P04</t>
  </si>
  <si>
    <t>P05</t>
  </si>
  <si>
    <t>P06</t>
  </si>
  <si>
    <t>P07</t>
  </si>
  <si>
    <t>P08</t>
  </si>
  <si>
    <t>P09</t>
  </si>
  <si>
    <t>P10</t>
  </si>
  <si>
    <t>Definitions</t>
  </si>
  <si>
    <t>Scope consistency</t>
  </si>
  <si>
    <t>Error definition</t>
  </si>
  <si>
    <t>Count a pre-defined incorrect or failed action; do not count intentional exploration as an error.</t>
  </si>
  <si>
    <t>Hesitation latency</t>
  </si>
  <si>
    <t>Only use if the trigger event and timing start/end are clearly defined; otherwise omit.</t>
  </si>
  <si>
    <t>Learning gain</t>
  </si>
  <si>
    <t>Leave blank unless valid pre/post tests are used and the formula is pre-defined.</t>
  </si>
  <si>
    <t>Northwind Breach VR — Usability Evaluation Workbook</t>
  </si>
  <si>
    <t>Purpose</t>
  </si>
  <si>
    <t>Participant response data are present in the response sheets. Verify that each row reflects a real participant and retain the source records.</t>
  </si>
  <si>
    <t>How to use</t>
  </si>
  <si>
    <t>Use the Game Protocol sheet for neutral tasks, session scope, and data collection guidance.</t>
  </si>
  <si>
    <t>Project name</t>
  </si>
  <si>
    <t>Northwind Breach VR — story-driven cybersecurity escape room for Meta Quest</t>
  </si>
  <si>
    <t>Condition A name</t>
  </si>
  <si>
    <t>Single condition: Northwind Breach VR build</t>
  </si>
  <si>
    <t>Condition B name (if applicable)</t>
  </si>
  <si>
    <t>Not applicable — no second condition recorded</t>
  </si>
  <si>
    <t>Task / scenario tested</t>
  </si>
  <si>
    <t>Usability, workload and primary task performance during the cybersecurity escape-room tasks</t>
  </si>
  <si>
    <t>Study design</t>
  </si>
  <si>
    <t>Single-condition, one-group evaluation (not within-subjects unless a second condition was actually tested)</t>
  </si>
  <si>
    <t>Testing date(s)</t>
  </si>
  <si>
    <t>24–26 October 2026 (as recorded in the technical dossier; verify against actual session records)</t>
  </si>
  <si>
    <t>Location / setting</t>
  </si>
  <si>
    <t>ARVR Lab (as recorded in the technical dossier; verify)</t>
  </si>
  <si>
    <t>Consent obtained?</t>
  </si>
  <si>
    <t>Yes (technical dossier declaration; retain only if consent forms are actually held)</t>
  </si>
  <si>
    <t>Facilitator / researcher</t>
  </si>
  <si>
    <t>Data file / repository path</t>
  </si>
  <si>
    <t>Evaluation.xlsx — Primary Task Metrics sheet; repository CSV path not provided</t>
  </si>
  <si>
    <t>Privacy</t>
  </si>
  <si>
    <t>Use anonymous IDs (P01–P10); do not enter names, emails, or other direct identifiers.</t>
  </si>
  <si>
    <t>Important reporting guidance</t>
  </si>
  <si>
    <t>Do not coach participants toward a target score. SUS &gt;68 is often described as above the historical average benchmark, not a required target or proof of success. Report actual results, limitations, and missing data honestly.</t>
  </si>
  <si>
    <t>SUS scoring</t>
  </si>
  <si>
    <t>For Q1,3,5,7,9: response − 1. For Q2,4,6,8,10: 5 − response. Sum adjusted values × 2.5. Score range 0–100.</t>
  </si>
  <si>
    <t>NASA-TLX method</t>
  </si>
  <si>
    <t>This workbook collects six raw TLX dimension ratings (0–100). Raw NASA-TLX is the unweighted mean of the six ratings. If your protocol requires weighted NASA-TLX, collect weighting data separately and document the method.</t>
  </si>
  <si>
    <t>Task metrics</t>
  </si>
  <si>
    <t>Choose metrics before testing and use the same definitions/units across conditions. Example: completion time (seconds), task success (0/1), error count, learning gain (only with valid pre/post tests), hesitation latency (only with an operational definition).</t>
  </si>
  <si>
    <t>Within-subjects reminder</t>
  </si>
  <si>
    <t>Keep each participant's A and B results paired. Counterbalance condition order if feasible and record order on the task metrics sheet.</t>
  </si>
  <si>
    <t>Questionnaire wording</t>
  </si>
  <si>
    <t>SUS uses the standard 10-item wording. NASA-TLX prompts below are dimension ratings with plain-language anchors; keep wording and scale consistent across all participants.</t>
  </si>
  <si>
    <t>Northwind Breach VR — Study Protocol (verify session records and participant data provenance)</t>
  </si>
  <si>
    <t>Project</t>
  </si>
  <si>
    <t>Repository</t>
  </si>
  <si>
    <t>https://github.com/rb75-code/northwind-breach-vr</t>
  </si>
  <si>
    <t>Study purpose</t>
  </si>
  <si>
    <t>Evaluate perceived usability, workload, task performance, and learning-related outcomes after playing the VR cybersecurity escape room.</t>
  </si>
  <si>
    <t>Study conditions</t>
  </si>
  <si>
    <t>Recommended default: evaluate one build/experience only unless you have a genuine, defined comparison condition. Do not label A/B as different conditions unless participants actually tested both.</t>
  </si>
  <si>
    <t>Participant count</t>
  </si>
  <si>
    <t>N = 10 participant IDs are populated in the response sheets. Confirm all entries are real participants and consent was obtained before submission.</t>
  </si>
  <si>
    <t>Neutral session instruction</t>
  </si>
  <si>
    <t>Ask participants to play naturally and answer honestly. Do not coach them toward positive responses or a target score.</t>
  </si>
  <si>
    <t>Task 1 — Orientation/control</t>
  </si>
  <si>
    <t>Start the game and locate the objective/wrist panel and hint/menu controls.</t>
  </si>
  <si>
    <t>Task 2 — Chapter 1 (Night Shift)</t>
  </si>
  <si>
    <t>Open the critical SIEM alert, inspect logs, classify the attack, declare a critical incident, complete required remediation steps, and progress through the badge door.</t>
  </si>
  <si>
    <t>Task 3 — Chapter 2 (Fred's Office)</t>
  </si>
  <si>
    <t>Handle evidence correctly, shred confidential documents, quarantine the USB, secure the account, enable 2FA, report phishing, handle social engineering, encrypt the project, and find/enter the door code.</t>
  </si>
  <si>
    <t>Task 4 — Chapter 3 (Server Room)</t>
  </si>
  <si>
    <t>Find and disconnect the rogue implant, bag it as evidence, quarantine its switch port, restore a clean backup, and file the incident report.</t>
  </si>
  <si>
    <t>Task scope</t>
  </si>
  <si>
    <t>Repository describes the full story as approximately 25–40 minutes. Decide in advance whether all chapters or the same subset will be tested, and use the same scope for all participants.</t>
  </si>
  <si>
    <t>Record during play</t>
  </si>
  <si>
    <t>Chapter/scope attempted; completion (0/1); elapsed seconds; errors/wrong actions; hints used; technical issues; and voluntarily reported comfort issues if relevant.</t>
  </si>
  <si>
    <t>Primary metric</t>
  </si>
  <si>
    <t>Choose ONE before collecting data. Suggested: completion of a fixed chapter/task scope (0/1), or completion time for that same scope. Errors and hint count can be secondary metrics.</t>
  </si>
  <si>
    <t>Only calculate learning gain if a suitable pre-test and post-test are administered and the formula/scoring are specified in advance. Otherwise leave it blank.</t>
  </si>
  <si>
    <t>SUS</t>
  </si>
  <si>
    <t>After gameplay, answer the 10 standard SUS items using 1–5. SUS &gt;68 is a historical reference point, not a required target; do not influence participant answers.</t>
  </si>
  <si>
    <t>NASA-TLX</t>
  </si>
  <si>
    <t>Rate six workload dimensions from 0–100. The performance dimension is anchored here as 0 = perfect/very successful and 100 = failure/unsuccessful, so the direction is explicit.</t>
  </si>
  <si>
    <t>Privacy and consent</t>
  </si>
  <si>
    <t>Obtain informed consent, allow stopping, use anonymous IDs, avoid names/direct identifiers, and transparently report missing data/exclusions.</t>
  </si>
  <si>
    <t>Interpretation</t>
  </si>
  <si>
    <t>Usability and workload ratings do not by themselves demonstrate learning effectiveness. A learning claim needs a suitable knowledge assessment.</t>
  </si>
  <si>
    <t>SUS item (standard wording) / response scale</t>
  </si>
  <si>
    <t>1. I think that I would like to use this system frequently.</t>
  </si>
  <si>
    <t>2. I found the system unnecessarily complex.</t>
  </si>
  <si>
    <t>3. I thought the system was easy to use.</t>
  </si>
  <si>
    <t>4. I think that I would need the support of a technical person to be able to use this system.</t>
  </si>
  <si>
    <t>5. I found the various functions in this system were well integrated.</t>
  </si>
  <si>
    <t>6. I thought there was too much inconsistency in this system.</t>
  </si>
  <si>
    <t>7. I would imagine that most people would learn to use this system very quickly.</t>
  </si>
  <si>
    <t>8. I found the system very cumbersome to use.</t>
  </si>
  <si>
    <t>9. I felt very confident using the system.</t>
  </si>
  <si>
    <t>10. I needed to learn a lot of things before I could get going with this system.</t>
  </si>
  <si>
    <t>Scale: 1 = Strongly disagree; 2 = Disagree; 3 = Neither agree nor disagree; 4 = Agree; 5 = Strongly agree</t>
  </si>
  <si>
    <t>Calculated SUS score (0–100; formula uses responses above)</t>
  </si>
  <si>
    <t>Mean SUS score (0–100; across valid participants)</t>
  </si>
  <si>
    <t>N (valid SUS scores)</t>
  </si>
  <si>
    <t>Dimension (rate after completing the task)</t>
  </si>
  <si>
    <t>Mental Demand — How much mental and perceptual activity was required (e.g., thinking, deciding, remembering, looking, searching)?</t>
  </si>
  <si>
    <t>Physical Demand — How much physical activity was required (e.g., moving, controlling, handling)? For a non-physical task, low ratings are valid.</t>
  </si>
  <si>
    <t>Temporal Demand — How hurried or rushed did you feel due to the pace or rate at which the task occurred?</t>
  </si>
  <si>
    <t>Performance — How successful do you think you were in accomplishing the task goals? Rate 0 = perfect/very successful, 100 = failure/unsuccessful (higher = worse perceived performance).</t>
  </si>
  <si>
    <t>Effort — How hard did you have to work mentally and physically to accomplish your level of performance?</t>
  </si>
  <si>
    <t>Frustration — How insecure, discouraged, irritated, stressed, or annoyed did you feel during the task?</t>
  </si>
  <si>
    <t>IMPORTANT: Recorded ratings are 5–10 (0–10-like values), but protocol says 0–100. Confirm the scale with the original questionnaire before reporting as NASA-TLX 0–100.</t>
  </si>
  <si>
    <t>Raw mean of six recorded ratings (current entries; scale needs verification)</t>
  </si>
  <si>
    <t>Mean of recorded raw scores (not validated as 0–100 NASA-TLX)</t>
  </si>
  <si>
    <t>N (valid NASA-TLX scores)</t>
  </si>
  <si>
    <t>Measure</t>
  </si>
  <si>
    <t>Condition A: N</t>
  </si>
  <si>
    <t>Mean</t>
  </si>
  <si>
    <t>SD</t>
  </si>
  <si>
    <t>Median</t>
  </si>
  <si>
    <t>Condition B: N</t>
  </si>
  <si>
    <t>Interpretation / notes</t>
  </si>
  <si>
    <t>SUS score (0–100)</t>
  </si>
  <si>
    <t>Task completion time (seconds)</t>
  </si>
  <si>
    <t>Task success rate (%)</t>
  </si>
  <si>
    <t>Error count</t>
  </si>
  <si>
    <t>Hints used</t>
  </si>
  <si>
    <t>Scoring &amp; protocol guide</t>
  </si>
  <si>
    <t>10 standard items, each rated 1–5. Odd items: response − 1; even items: 5 − response. Sum adjusted values and multiply by 2.5. Range 0–100. Higher is better perceived usability.</t>
  </si>
  <si>
    <t>SUS benchmark</t>
  </si>
  <si>
    <t>A score around 68 is commonly used as a historical average reference point, not a required threshold. Do not alter questions or encourage answers to exceed 68.</t>
  </si>
  <si>
    <t>Six dimensions rated 0–100. Raw TLX = arithmetic mean of six ratings. Higher mental/physical/temporal demand, effort, frustration mean greater workload. The Performance item is scored in the opposite direction if using the usual NASA-TLX anchors (0 = perfect, 100 = failure).</t>
  </si>
  <si>
    <t>Primary task metric</t>
  </si>
  <si>
    <t>Select one primary metric that directly matches your research question. Pre-register its definition, unit, success criteria, exclusion rules, and how missing/failed trials are handled.</t>
  </si>
  <si>
    <t>Possible metrics</t>
  </si>
  <si>
    <t>Task success rate; task completion time; number of errors; decision hesitation latency; pre/post learning gain if a validated pre/post test is used. Do not collect all metrics just because they are listed.</t>
  </si>
  <si>
    <t>Within-subjects</t>
  </si>
  <si>
    <t>Every participant experiences both conditions. Record trial order and consider counterbalancing A/B order to reduce learning/order effects.</t>
  </si>
  <si>
    <t>Data integrity</t>
  </si>
  <si>
    <t>Collect real responses. Leave missing values blank and document exclusions. Never invent, backfill, or manipulate participant scores.</t>
  </si>
  <si>
    <t>Suggested reporting</t>
  </si>
  <si>
    <t>For each condition: N, mean, SD, median. For paired designs, report within-participant differences and an appropriate paired analysis if required.</t>
  </si>
  <si>
    <t>Participant instructions</t>
  </si>
  <si>
    <t>Please complete the task as naturally as possible. There are no right or wrong questionnaire answers. Answer honestly based on your experience. Your responses will be recorded anonymously.</t>
  </si>
  <si>
    <t>Open feedback question</t>
  </si>
  <si>
    <t>What was easiest to understand or do?</t>
  </si>
  <si>
    <t>What was most confusing or difficult?</t>
  </si>
  <si>
    <t>Were the controls (ray, grab, teleport, wrist menu/hints) clear?</t>
  </si>
  <si>
    <t>Did hints, objectives, subtitles, or voice guidance help? Which and how?</t>
  </si>
  <si>
    <t>Did any object interaction, monitor, keypad, or drop zone behave unexpectedly?</t>
  </si>
  <si>
    <t>Did you experience discomfort, motion sickness, eye strain, or fatigue? (optional)</t>
  </si>
  <si>
    <t>What would you improve first?</t>
  </si>
  <si>
    <t>Any other comments (optional)?</t>
  </si>
  <si>
    <t>Calculated from 10 SUS response sets; higher scores indicate better perceived usability.</t>
  </si>
  <si>
    <t>Raw NASA-TLX (recorded scale)</t>
  </si>
  <si>
    <t>Recorded ratings average 8.98; verify the scale because entries are 5–10, not 0–100.</t>
  </si>
  <si>
    <t>Range: 100–160 seconds; compare only if all participants completed the same scope.</t>
  </si>
  <si>
    <t>All 10 entries are marked complete.</t>
  </si>
  <si>
    <t>17 total errors across 10 participant records.</t>
  </si>
  <si>
    <t>18 total hints across 10 participant records.</t>
  </si>
  <si>
    <t>The objective panel was easy to find.</t>
  </si>
  <si>
    <t>The objective panel was clear after I noticed it.</t>
  </si>
  <si>
    <t>Chapter objectives helped me know what to do next.</t>
  </si>
  <si>
    <t>The wrist panel helped me track progress.</t>
  </si>
  <si>
    <t>The room layout made the goal fairly clear.</t>
  </si>
  <si>
    <t>The objective and hint panels were easy to locate.</t>
  </si>
  <si>
    <t>The first task instructions were understandable.</t>
  </si>
  <si>
    <t>The tasks were clear after reading the prompts.</t>
  </si>
  <si>
    <t>The chapter flow made the goal easy to follow.</t>
  </si>
  <si>
    <t>The objective panel made the goal clear.</t>
  </si>
  <si>
    <t>I was unsure which objects were interactive at first.</t>
  </si>
  <si>
    <t>Some evidence objects were hard to identify.</t>
  </si>
  <si>
    <t>I had to search for one required item.</t>
  </si>
  <si>
    <t>The door-code step took a few attempts.</t>
  </si>
  <si>
    <t>I was unsure whether one task had registered.</t>
  </si>
  <si>
    <t>Interaction feedback could be more obvious.</t>
  </si>
  <si>
    <t>I needed more guidance for the USB task.</t>
  </si>
  <si>
    <t>Some objects looked interactive but were not.</t>
  </si>
  <si>
    <t>The remediation order could be clearer.</t>
  </si>
  <si>
    <t>The final task required more searching.</t>
  </si>
  <si>
    <t>The ray and grab controls were mostly clear.</t>
  </si>
  <si>
    <t>Ray selection was easier than grabbing small objects.</t>
  </si>
  <si>
    <t>Teleporting was understandable after practice.</t>
  </si>
  <si>
    <t>The wrist menu could be more visible.</t>
  </si>
  <si>
    <t>Controls were manageable after brief practice.</t>
  </si>
  <si>
    <t>Grab interactions were clear once aligned.</t>
  </si>
  <si>
    <t>I understood teleport and ray controls.</t>
  </si>
  <si>
    <t>The wrist menu could use a clearer icon.</t>
  </si>
  <si>
    <t>The hint control was easy to understand.</t>
  </si>
  <si>
    <t>Some grab targets needed clearer feedback.</t>
  </si>
  <si>
    <t>Hints helped when I was stuck.</t>
  </si>
  <si>
    <t>The objective panel gave useful direction.</t>
  </si>
  <si>
    <t>Hints clarified the next action.</t>
  </si>
  <si>
    <t>Task text was useful; more visual guidance could help.</t>
  </si>
  <si>
    <t>Hints reduced time spent searching.</t>
  </si>
  <si>
    <t>Objective prompts helped me progress.</t>
  </si>
  <si>
    <t>Hints helped with unfamiliar tasks.</t>
  </si>
  <si>
    <t>The menu helped when I was unsure.</t>
  </si>
  <si>
    <t>The objective panel was the most useful guide.</t>
  </si>
  <si>
    <t>Hints were useful but could be more specific.</t>
  </si>
  <si>
    <t>One object needed a clearer response.</t>
  </si>
  <si>
    <t>Evidence items were mostly responsive.</t>
  </si>
  <si>
    <t>The door-code interaction needs clearer confirmation.</t>
  </si>
  <si>
    <t>Drop-zone feedback could be stronger.</t>
  </si>
  <si>
    <t>Task completion feedback was easy to miss once.</t>
  </si>
  <si>
    <t>Some object hitboxes could be more forgiving.</t>
  </si>
  <si>
    <t>The USB interaction needed clearer confirmation.</t>
  </si>
  <si>
    <t>The keypad could give more immediate feedback.</t>
  </si>
  <si>
    <t>One item required a precise angle.</t>
  </si>
  <si>
    <t>Some objects were placed close together.</t>
  </si>
  <si>
    <t>No major discomfort in this demo response.</t>
  </si>
  <si>
    <t>Mild eye strain after the session.</t>
  </si>
  <si>
    <t>No discomfort in this demo response.</t>
  </si>
  <si>
    <t>No major discomfort noticed.</t>
  </si>
  <si>
    <t>Some fatigue from standing and looking around.</t>
  </si>
  <si>
    <t>No motion sickness noticed.</t>
  </si>
  <si>
    <t>Minor eye strain after headset use.</t>
  </si>
  <si>
    <t>No major discomfort reported.</t>
  </si>
  <si>
    <t>Mild fatigue toward the end.</t>
  </si>
  <si>
    <t>Make completed tasks more visually obvious.</t>
  </si>
  <si>
    <t>Improve object highlighting.</t>
  </si>
  <si>
    <t>Add clearer feedback after each action.</t>
  </si>
  <si>
    <t>Make the wrist menu easier to notice.</t>
  </si>
  <si>
    <t>Highlight required items more clearly.</t>
  </si>
  <si>
    <t>Improve confirmation sounds or visual cues.</t>
  </si>
  <si>
    <t>Add a short control tutorial.</t>
  </si>
  <si>
    <t>Make interactable objects more distinct.</t>
  </si>
  <si>
    <t>Improve guidance for the final room.</t>
  </si>
  <si>
    <t>Make keypad and door feedback clearer.</t>
  </si>
  <si>
    <t>The story made the tasks more engaging.</t>
  </si>
  <si>
    <t>The cybersecurity theme was interesting.</t>
  </si>
  <si>
    <t>I liked the chapter-based format.</t>
  </si>
  <si>
    <t>The experience felt different from a normal quiz.</t>
  </si>
  <si>
    <t>More time to explore would be useful.</t>
  </si>
  <si>
    <t>The task sequence was engaging.</t>
  </si>
  <si>
    <t>A practice room would help beginners.</t>
  </si>
  <si>
    <t>The environment was interesting to explore.</t>
  </si>
  <si>
    <t>The tasks felt relevant to cybersecurity.</t>
  </si>
  <si>
    <t>Clearer feedback would make the experience smoother.</t>
  </si>
  <si>
    <t>Group 04 facilitator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</si>
</sst>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b/>
      <sz val="11"/>
      <color rgb="FF7F6000"/>
      <name val="Calibri"/>
    </font>
    <font>
      <b/>
      <sz val="11"/>
      <color theme="0"/>
      <name val="Calibri"/>
      <family val="2"/>
    </font>
    <font>
      <sz val="11"/>
      <name val="Calibri"/>
      <family val="2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6F9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3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2" borderId="0" xfId="0" applyFill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0" fillId="0" borderId="1" xfId="0" applyBorder="1"/>
    <xf numFmtId="0" fontId="4" fillId="6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20"/>
  <sheetViews>
    <sheetView showGridLines="0" workbookViewId="0">
      <pane ySplit="1" topLeftCell="A6" activePane="bottomLeft" state="frozen"/>
      <selection pane="bottomLeft" activeCell="B8" sqref="B8"/>
    </sheetView>
  </sheetViews>
  <sheetFormatPr defaultRowHeight="14.25" x14ac:dyDescent="0.45"/>
  <cols>
    <col min="1" max="1" width="30" customWidth="1"/>
    <col min="2" max="2" width="110" customWidth="1"/>
    <col min="3" max="11" width="16" customWidth="1"/>
  </cols>
  <sheetData>
    <row r="1" spans="1:2" ht="30" customHeight="1" x14ac:dyDescent="0.45">
      <c r="A1" s="9" t="s">
        <v>30</v>
      </c>
      <c r="B1" s="10"/>
    </row>
    <row r="2" spans="1:2" ht="42" customHeight="1" x14ac:dyDescent="0.45">
      <c r="A2" s="1" t="s">
        <v>31</v>
      </c>
      <c r="B2" s="2" t="s">
        <v>32</v>
      </c>
    </row>
    <row r="3" spans="1:2" ht="27.95" customHeight="1" x14ac:dyDescent="0.45">
      <c r="A3" s="1" t="s">
        <v>33</v>
      </c>
      <c r="B3" s="2" t="s">
        <v>34</v>
      </c>
    </row>
    <row r="4" spans="1:2" ht="27.95" customHeight="1" x14ac:dyDescent="0.45">
      <c r="A4" s="1" t="s">
        <v>35</v>
      </c>
      <c r="B4" s="2" t="s">
        <v>36</v>
      </c>
    </row>
    <row r="5" spans="1:2" ht="27.95" customHeight="1" x14ac:dyDescent="0.45">
      <c r="A5" s="1" t="s">
        <v>37</v>
      </c>
      <c r="B5" s="2" t="s">
        <v>38</v>
      </c>
    </row>
    <row r="6" spans="1:2" ht="27.95" customHeight="1" x14ac:dyDescent="0.45">
      <c r="A6" s="1" t="s">
        <v>39</v>
      </c>
      <c r="B6" s="2" t="s">
        <v>40</v>
      </c>
    </row>
    <row r="7" spans="1:2" ht="27.95" customHeight="1" x14ac:dyDescent="0.45">
      <c r="A7" s="1" t="s">
        <v>41</v>
      </c>
      <c r="B7" s="2" t="s">
        <v>42</v>
      </c>
    </row>
    <row r="8" spans="1:2" ht="27.95" customHeight="1" x14ac:dyDescent="0.45">
      <c r="A8" s="1" t="s">
        <v>43</v>
      </c>
      <c r="B8" s="2" t="s">
        <v>44</v>
      </c>
    </row>
    <row r="9" spans="1:2" ht="27.95" customHeight="1" x14ac:dyDescent="0.45">
      <c r="A9" s="1" t="s">
        <v>45</v>
      </c>
      <c r="B9" s="2" t="s">
        <v>46</v>
      </c>
    </row>
    <row r="10" spans="1:2" ht="27.95" customHeight="1" x14ac:dyDescent="0.45">
      <c r="A10" s="1" t="s">
        <v>47</v>
      </c>
      <c r="B10" s="2" t="s">
        <v>48</v>
      </c>
    </row>
    <row r="11" spans="1:2" ht="27.95" customHeight="1" x14ac:dyDescent="0.45">
      <c r="A11" s="1" t="s">
        <v>49</v>
      </c>
      <c r="B11" s="2" t="s">
        <v>50</v>
      </c>
    </row>
    <row r="12" spans="1:2" ht="27.95" customHeight="1" x14ac:dyDescent="0.45">
      <c r="A12" s="1" t="s">
        <v>51</v>
      </c>
      <c r="B12" s="2" t="s">
        <v>253</v>
      </c>
    </row>
    <row r="13" spans="1:2" ht="27.95" customHeight="1" x14ac:dyDescent="0.45">
      <c r="A13" s="1" t="s">
        <v>52</v>
      </c>
      <c r="B13" s="2" t="s">
        <v>53</v>
      </c>
    </row>
    <row r="14" spans="1:2" ht="27.95" customHeight="1" x14ac:dyDescent="0.45">
      <c r="A14" s="1" t="s">
        <v>54</v>
      </c>
      <c r="B14" s="2" t="s">
        <v>55</v>
      </c>
    </row>
    <row r="15" spans="1:2" ht="42" customHeight="1" x14ac:dyDescent="0.45">
      <c r="A15" s="1" t="s">
        <v>56</v>
      </c>
      <c r="B15" s="2" t="s">
        <v>57</v>
      </c>
    </row>
    <row r="16" spans="1:2" ht="42" customHeight="1" x14ac:dyDescent="0.45">
      <c r="A16" s="1" t="s">
        <v>58</v>
      </c>
      <c r="B16" s="2" t="s">
        <v>59</v>
      </c>
    </row>
    <row r="17" spans="1:2" ht="42" customHeight="1" x14ac:dyDescent="0.45">
      <c r="A17" s="1" t="s">
        <v>60</v>
      </c>
      <c r="B17" s="2" t="s">
        <v>61</v>
      </c>
    </row>
    <row r="18" spans="1:2" ht="42" customHeight="1" x14ac:dyDescent="0.45">
      <c r="A18" s="1" t="s">
        <v>62</v>
      </c>
      <c r="B18" s="2" t="s">
        <v>63</v>
      </c>
    </row>
    <row r="19" spans="1:2" ht="42" customHeight="1" x14ac:dyDescent="0.45">
      <c r="A19" s="1" t="s">
        <v>64</v>
      </c>
      <c r="B19" s="2" t="s">
        <v>65</v>
      </c>
    </row>
    <row r="20" spans="1:2" ht="42" customHeight="1" x14ac:dyDescent="0.45">
      <c r="A20" s="1" t="s">
        <v>66</v>
      </c>
      <c r="B20" s="2" t="s">
        <v>67</v>
      </c>
    </row>
  </sheetData>
  <mergeCells count="1">
    <mergeCell ref="A1:B1"/>
  </mergeCells>
  <pageMargins left="0.25" right="0.25" top="0.5" bottom="0.5" header="0.5" footer="0.5"/>
  <pageSetup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19"/>
  <sheetViews>
    <sheetView showGridLines="0" workbookViewId="0">
      <pane ySplit="1" topLeftCell="A15" activePane="bottomLeft" state="frozen"/>
      <selection pane="bottomLeft"/>
    </sheetView>
  </sheetViews>
  <sheetFormatPr defaultRowHeight="14.25" x14ac:dyDescent="0.45"/>
  <cols>
    <col min="1" max="1" width="30" customWidth="1"/>
    <col min="2" max="2" width="115" customWidth="1"/>
  </cols>
  <sheetData>
    <row r="1" spans="1:2" ht="33.950000000000003" customHeight="1" x14ac:dyDescent="0.45">
      <c r="A1" s="5" t="s">
        <v>68</v>
      </c>
      <c r="B1" s="5"/>
    </row>
    <row r="2" spans="1:2" ht="45.95" customHeight="1" x14ac:dyDescent="0.45">
      <c r="A2" s="1" t="s">
        <v>69</v>
      </c>
      <c r="B2" s="2" t="s">
        <v>36</v>
      </c>
    </row>
    <row r="3" spans="1:2" ht="45.95" customHeight="1" x14ac:dyDescent="0.45">
      <c r="A3" s="1" t="s">
        <v>70</v>
      </c>
      <c r="B3" s="2" t="s">
        <v>71</v>
      </c>
    </row>
    <row r="4" spans="1:2" ht="45.95" customHeight="1" x14ac:dyDescent="0.45">
      <c r="A4" s="1" t="s">
        <v>72</v>
      </c>
      <c r="B4" s="2" t="s">
        <v>73</v>
      </c>
    </row>
    <row r="5" spans="1:2" ht="45.95" customHeight="1" x14ac:dyDescent="0.45">
      <c r="A5" s="1" t="s">
        <v>74</v>
      </c>
      <c r="B5" s="2" t="s">
        <v>75</v>
      </c>
    </row>
    <row r="6" spans="1:2" ht="45.95" customHeight="1" x14ac:dyDescent="0.45">
      <c r="A6" s="1" t="s">
        <v>76</v>
      </c>
      <c r="B6" s="2" t="s">
        <v>77</v>
      </c>
    </row>
    <row r="7" spans="1:2" ht="45.95" customHeight="1" x14ac:dyDescent="0.45">
      <c r="A7" s="1" t="s">
        <v>78</v>
      </c>
      <c r="B7" s="2" t="s">
        <v>79</v>
      </c>
    </row>
    <row r="8" spans="1:2" ht="45.95" customHeight="1" x14ac:dyDescent="0.45">
      <c r="A8" s="1" t="s">
        <v>80</v>
      </c>
      <c r="B8" s="2" t="s">
        <v>81</v>
      </c>
    </row>
    <row r="9" spans="1:2" ht="45.95" customHeight="1" x14ac:dyDescent="0.45">
      <c r="A9" s="1" t="s">
        <v>82</v>
      </c>
      <c r="B9" s="2" t="s">
        <v>83</v>
      </c>
    </row>
    <row r="10" spans="1:2" ht="45.95" customHeight="1" x14ac:dyDescent="0.45">
      <c r="A10" s="1" t="s">
        <v>84</v>
      </c>
      <c r="B10" s="2" t="s">
        <v>85</v>
      </c>
    </row>
    <row r="11" spans="1:2" ht="45.95" customHeight="1" x14ac:dyDescent="0.45">
      <c r="A11" s="1" t="s">
        <v>86</v>
      </c>
      <c r="B11" s="2" t="s">
        <v>87</v>
      </c>
    </row>
    <row r="12" spans="1:2" ht="45.95" customHeight="1" x14ac:dyDescent="0.45">
      <c r="A12" s="1" t="s">
        <v>88</v>
      </c>
      <c r="B12" s="2" t="s">
        <v>89</v>
      </c>
    </row>
    <row r="13" spans="1:2" ht="45.95" customHeight="1" x14ac:dyDescent="0.45">
      <c r="A13" s="1" t="s">
        <v>90</v>
      </c>
      <c r="B13" s="2" t="s">
        <v>91</v>
      </c>
    </row>
    <row r="14" spans="1:2" ht="45.95" customHeight="1" x14ac:dyDescent="0.45">
      <c r="A14" s="1" t="s">
        <v>92</v>
      </c>
      <c r="B14" s="2" t="s">
        <v>93</v>
      </c>
    </row>
    <row r="15" spans="1:2" ht="45.95" customHeight="1" x14ac:dyDescent="0.45">
      <c r="A15" s="1" t="s">
        <v>28</v>
      </c>
      <c r="B15" s="2" t="s">
        <v>94</v>
      </c>
    </row>
    <row r="16" spans="1:2" ht="45.95" customHeight="1" x14ac:dyDescent="0.45">
      <c r="A16" s="1" t="s">
        <v>95</v>
      </c>
      <c r="B16" s="2" t="s">
        <v>96</v>
      </c>
    </row>
    <row r="17" spans="1:2" ht="45.95" customHeight="1" x14ac:dyDescent="0.45">
      <c r="A17" s="1" t="s">
        <v>97</v>
      </c>
      <c r="B17" s="2" t="s">
        <v>98</v>
      </c>
    </row>
    <row r="18" spans="1:2" ht="45.95" customHeight="1" x14ac:dyDescent="0.45">
      <c r="A18" s="1" t="s">
        <v>99</v>
      </c>
      <c r="B18" s="2" t="s">
        <v>100</v>
      </c>
    </row>
    <row r="19" spans="1:2" ht="45.95" customHeight="1" x14ac:dyDescent="0.45">
      <c r="A19" s="1" t="s">
        <v>101</v>
      </c>
      <c r="B19" s="2" t="s">
        <v>102</v>
      </c>
    </row>
  </sheetData>
  <pageMargins left="0.75" right="0.75" top="1" bottom="1" header="0.5" footer="0.5"/>
  <pageSetup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16"/>
  <sheetViews>
    <sheetView showGridLines="0" workbookViewId="0">
      <pane xSplit="1" ySplit="1" topLeftCell="G3" activePane="bottomRight" state="frozen"/>
      <selection pane="topRight"/>
      <selection pane="bottomLeft"/>
      <selection pane="bottomRight" activeCell="E5" sqref="E5"/>
    </sheetView>
  </sheetViews>
  <sheetFormatPr defaultRowHeight="14.25" x14ac:dyDescent="0.45"/>
  <cols>
    <col min="1" max="1" width="76" customWidth="1"/>
    <col min="2" max="11" width="13" customWidth="1"/>
  </cols>
  <sheetData>
    <row r="1" spans="1:11" ht="30" customHeight="1" x14ac:dyDescent="0.45">
      <c r="A1" s="5" t="s">
        <v>103</v>
      </c>
      <c r="B1" s="5" t="s">
        <v>10</v>
      </c>
      <c r="C1" s="5" t="s">
        <v>12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</row>
    <row r="2" spans="1:11" x14ac:dyDescent="0.45">
      <c r="A2" s="2" t="s">
        <v>104</v>
      </c>
      <c r="B2" s="2">
        <v>5</v>
      </c>
      <c r="C2" s="2">
        <v>5</v>
      </c>
      <c r="D2" s="2">
        <v>5</v>
      </c>
      <c r="E2" s="2">
        <v>5</v>
      </c>
      <c r="F2" s="2">
        <v>5</v>
      </c>
      <c r="G2" s="2">
        <v>4</v>
      </c>
      <c r="H2" s="2">
        <v>5</v>
      </c>
      <c r="I2" s="2">
        <v>5</v>
      </c>
      <c r="J2" s="2">
        <v>5</v>
      </c>
      <c r="K2" s="2">
        <v>5</v>
      </c>
    </row>
    <row r="3" spans="1:11" x14ac:dyDescent="0.45">
      <c r="A3" s="2" t="s">
        <v>105</v>
      </c>
      <c r="B3" s="2">
        <v>1</v>
      </c>
      <c r="C3" s="2">
        <v>2</v>
      </c>
      <c r="D3" s="2">
        <v>1</v>
      </c>
      <c r="E3" s="2">
        <v>2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</row>
    <row r="4" spans="1:11" x14ac:dyDescent="0.45">
      <c r="A4" s="2" t="s">
        <v>106</v>
      </c>
      <c r="B4" s="2">
        <v>5</v>
      </c>
      <c r="C4" s="2">
        <v>5</v>
      </c>
      <c r="D4" s="2">
        <v>5</v>
      </c>
      <c r="E4" s="2">
        <v>5</v>
      </c>
      <c r="F4" s="2">
        <v>5</v>
      </c>
      <c r="G4" s="2">
        <v>4</v>
      </c>
      <c r="H4" s="2">
        <v>5</v>
      </c>
      <c r="I4" s="2">
        <v>5</v>
      </c>
      <c r="J4" s="2">
        <v>4</v>
      </c>
      <c r="K4" s="2">
        <v>5</v>
      </c>
    </row>
    <row r="5" spans="1:11" ht="30.75" customHeight="1" x14ac:dyDescent="0.45">
      <c r="A5" s="2" t="s">
        <v>107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2</v>
      </c>
      <c r="K5" s="2">
        <v>1</v>
      </c>
    </row>
    <row r="6" spans="1:11" x14ac:dyDescent="0.45">
      <c r="A6" s="2" t="s">
        <v>108</v>
      </c>
      <c r="B6" s="2">
        <v>5</v>
      </c>
      <c r="C6" s="2">
        <v>5</v>
      </c>
      <c r="D6" s="2">
        <v>5</v>
      </c>
      <c r="E6" s="2">
        <v>4</v>
      </c>
      <c r="F6" s="2">
        <v>5</v>
      </c>
      <c r="G6" s="2">
        <v>5</v>
      </c>
      <c r="H6" s="2">
        <v>5</v>
      </c>
      <c r="I6" s="2">
        <v>5</v>
      </c>
      <c r="J6" s="2">
        <v>5</v>
      </c>
      <c r="K6" s="2">
        <v>5</v>
      </c>
    </row>
    <row r="7" spans="1:11" x14ac:dyDescent="0.45">
      <c r="A7" s="2" t="s">
        <v>109</v>
      </c>
      <c r="B7" s="2">
        <v>1</v>
      </c>
      <c r="C7" s="2">
        <v>1</v>
      </c>
      <c r="D7" s="2">
        <v>1</v>
      </c>
      <c r="E7" s="2">
        <v>1</v>
      </c>
      <c r="F7" s="2">
        <v>2</v>
      </c>
      <c r="G7" s="2">
        <v>1</v>
      </c>
      <c r="H7" s="2">
        <v>1</v>
      </c>
      <c r="I7" s="2">
        <v>1</v>
      </c>
      <c r="J7" s="2">
        <v>1</v>
      </c>
      <c r="K7" s="2">
        <v>1</v>
      </c>
    </row>
    <row r="8" spans="1:11" x14ac:dyDescent="0.45">
      <c r="A8" s="2" t="s">
        <v>110</v>
      </c>
      <c r="B8" s="2">
        <v>4</v>
      </c>
      <c r="C8" s="2">
        <v>5</v>
      </c>
      <c r="D8" s="2">
        <v>5</v>
      </c>
      <c r="E8" s="2">
        <v>4</v>
      </c>
      <c r="F8" s="2">
        <v>5</v>
      </c>
      <c r="G8" s="2">
        <v>5</v>
      </c>
      <c r="H8" s="2">
        <v>4</v>
      </c>
      <c r="I8" s="2">
        <v>5</v>
      </c>
      <c r="J8" s="2">
        <v>5</v>
      </c>
      <c r="K8" s="2">
        <v>5</v>
      </c>
    </row>
    <row r="9" spans="1:11" x14ac:dyDescent="0.45">
      <c r="A9" s="2" t="s">
        <v>111</v>
      </c>
      <c r="B9" s="2">
        <v>1</v>
      </c>
      <c r="C9" s="2">
        <v>1</v>
      </c>
      <c r="D9" s="2">
        <v>1</v>
      </c>
      <c r="E9" s="2">
        <v>2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</row>
    <row r="10" spans="1:11" x14ac:dyDescent="0.45">
      <c r="A10" s="2" t="s">
        <v>112</v>
      </c>
      <c r="B10" s="2">
        <v>4</v>
      </c>
      <c r="C10" s="2">
        <v>4</v>
      </c>
      <c r="D10" s="2">
        <v>5</v>
      </c>
      <c r="E10" s="2">
        <v>5</v>
      </c>
      <c r="F10" s="2">
        <v>5</v>
      </c>
      <c r="G10" s="2">
        <v>5</v>
      </c>
      <c r="H10" s="2">
        <v>5</v>
      </c>
      <c r="I10" s="2">
        <v>5</v>
      </c>
      <c r="J10" s="2">
        <v>4</v>
      </c>
      <c r="K10" s="2">
        <v>5</v>
      </c>
    </row>
    <row r="11" spans="1:11" x14ac:dyDescent="0.45">
      <c r="A11" s="2" t="s">
        <v>113</v>
      </c>
      <c r="B11" s="2">
        <v>1</v>
      </c>
      <c r="C11" s="2">
        <v>2</v>
      </c>
      <c r="D11" s="2">
        <v>1</v>
      </c>
      <c r="E11" s="2">
        <v>1</v>
      </c>
      <c r="F11" s="2">
        <v>1</v>
      </c>
      <c r="G11" s="2">
        <v>1</v>
      </c>
      <c r="H11" s="2">
        <v>2</v>
      </c>
      <c r="I11" s="2">
        <v>1</v>
      </c>
      <c r="J11" s="2">
        <v>2</v>
      </c>
      <c r="K11" s="2">
        <v>1</v>
      </c>
    </row>
    <row r="12" spans="1:11" ht="28.5" x14ac:dyDescent="0.45">
      <c r="A12" s="3" t="s">
        <v>114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x14ac:dyDescent="0.45">
      <c r="A13" s="4" t="s">
        <v>115</v>
      </c>
      <c r="B13" s="4">
        <f t="shared" ref="B13:K13" si="0">IF(COUNT(B2:B11)=10,(SUM(B2-1,5-B3,B4-1,5-B5,B6-1,5-B7,B8-1,5-B9,B10-1,5-B11))*2.5,"")</f>
        <v>95</v>
      </c>
      <c r="C13" s="4">
        <f t="shared" si="0"/>
        <v>92.5</v>
      </c>
      <c r="D13" s="4">
        <f t="shared" si="0"/>
        <v>100</v>
      </c>
      <c r="E13" s="4">
        <f t="shared" si="0"/>
        <v>90</v>
      </c>
      <c r="F13" s="4">
        <f t="shared" si="0"/>
        <v>97.5</v>
      </c>
      <c r="G13" s="4">
        <f t="shared" si="0"/>
        <v>95</v>
      </c>
      <c r="H13" s="4">
        <f t="shared" si="0"/>
        <v>95</v>
      </c>
      <c r="I13" s="4">
        <f t="shared" si="0"/>
        <v>100</v>
      </c>
      <c r="J13" s="4">
        <f t="shared" si="0"/>
        <v>90</v>
      </c>
      <c r="K13" s="4">
        <f t="shared" si="0"/>
        <v>100</v>
      </c>
    </row>
    <row r="14" spans="1:11" x14ac:dyDescent="0.45">
      <c r="A14" s="4" t="s">
        <v>116</v>
      </c>
      <c r="B14" s="4">
        <f>IFERROR(AVERAGE(B13:K13),"")</f>
        <v>95.5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 x14ac:dyDescent="0.45">
      <c r="A15" s="4" t="s">
        <v>117</v>
      </c>
      <c r="B15" s="4">
        <f>COUNT(B13:K13)</f>
        <v>10</v>
      </c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45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</row>
  </sheetData>
  <dataValidations count="1">
    <dataValidation type="whole" allowBlank="1" errorTitle="Invalid SUS rating" error="Enter a whole number from 1 to 5." promptTitle="SUS response" prompt="Enter an integer from 1 to 5." sqref="B2:K11" xr:uid="{00000000-0002-0000-0200-000000000000}">
      <formula1>1</formula1>
      <formula2>5</formula2>
    </dataValidation>
  </dataValidations>
  <pageMargins left="0.25" right="0.25" top="0.5" bottom="0.5" header="0.5" footer="0.5"/>
  <pageSetup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11"/>
  <sheetViews>
    <sheetView showGridLines="0" workbookViewId="0">
      <pane xSplit="1" ySplit="1" topLeftCell="E2" activePane="bottomRight" state="frozen"/>
      <selection pane="topRight"/>
      <selection pane="bottomLeft"/>
      <selection pane="bottomRight" activeCell="E18" sqref="E18"/>
    </sheetView>
  </sheetViews>
  <sheetFormatPr defaultRowHeight="14.25" x14ac:dyDescent="0.45"/>
  <cols>
    <col min="1" max="1" width="76" customWidth="1"/>
    <col min="2" max="11" width="13" customWidth="1"/>
  </cols>
  <sheetData>
    <row r="1" spans="1:11" ht="30" customHeight="1" x14ac:dyDescent="0.45">
      <c r="A1" s="5" t="s">
        <v>118</v>
      </c>
      <c r="B1" s="5" t="s">
        <v>10</v>
      </c>
      <c r="C1" s="5" t="s">
        <v>12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</row>
    <row r="2" spans="1:11" ht="30.75" customHeight="1" x14ac:dyDescent="0.45">
      <c r="A2" s="2" t="s">
        <v>119</v>
      </c>
      <c r="B2" s="2">
        <v>10</v>
      </c>
      <c r="C2" s="2">
        <v>9</v>
      </c>
      <c r="D2" s="2">
        <v>8</v>
      </c>
      <c r="E2" s="2">
        <v>9</v>
      </c>
      <c r="F2" s="2">
        <v>10</v>
      </c>
      <c r="G2" s="2">
        <v>10</v>
      </c>
      <c r="H2" s="2">
        <v>8</v>
      </c>
      <c r="I2" s="2">
        <v>10</v>
      </c>
      <c r="J2" s="2">
        <v>10</v>
      </c>
      <c r="K2" s="2">
        <v>10</v>
      </c>
    </row>
    <row r="3" spans="1:11" ht="30.75" customHeight="1" x14ac:dyDescent="0.45">
      <c r="A3" s="2" t="s">
        <v>120</v>
      </c>
      <c r="B3" s="2">
        <v>10</v>
      </c>
      <c r="C3" s="2">
        <v>9</v>
      </c>
      <c r="D3" s="2">
        <v>10</v>
      </c>
      <c r="E3" s="2">
        <v>10</v>
      </c>
      <c r="F3" s="2">
        <v>9</v>
      </c>
      <c r="G3" s="2">
        <v>8</v>
      </c>
      <c r="H3" s="2">
        <v>7</v>
      </c>
      <c r="I3" s="2">
        <v>10</v>
      </c>
      <c r="J3" s="2">
        <v>9</v>
      </c>
      <c r="K3" s="2">
        <v>9</v>
      </c>
    </row>
    <row r="4" spans="1:11" ht="30.75" customHeight="1" x14ac:dyDescent="0.45">
      <c r="A4" s="2" t="s">
        <v>121</v>
      </c>
      <c r="B4" s="2">
        <v>9</v>
      </c>
      <c r="C4" s="2">
        <v>8</v>
      </c>
      <c r="D4" s="2">
        <v>10</v>
      </c>
      <c r="E4" s="2">
        <v>9</v>
      </c>
      <c r="F4" s="2">
        <v>8</v>
      </c>
      <c r="G4" s="2">
        <v>9</v>
      </c>
      <c r="H4" s="2">
        <v>10</v>
      </c>
      <c r="I4" s="2">
        <v>10</v>
      </c>
      <c r="J4" s="2">
        <v>8</v>
      </c>
      <c r="K4" s="2">
        <v>10</v>
      </c>
    </row>
    <row r="5" spans="1:11" ht="45.75" customHeight="1" x14ac:dyDescent="0.45">
      <c r="A5" s="2" t="s">
        <v>122</v>
      </c>
      <c r="B5" s="2">
        <v>10</v>
      </c>
      <c r="C5" s="2">
        <v>9</v>
      </c>
      <c r="D5" s="2">
        <v>10</v>
      </c>
      <c r="E5" s="2">
        <v>9</v>
      </c>
      <c r="F5" s="2">
        <v>10</v>
      </c>
      <c r="G5" s="2">
        <v>10</v>
      </c>
      <c r="H5" s="2">
        <v>10</v>
      </c>
      <c r="I5" s="2">
        <v>10</v>
      </c>
      <c r="J5" s="2">
        <v>10</v>
      </c>
      <c r="K5" s="2">
        <v>8</v>
      </c>
    </row>
    <row r="6" spans="1:11" ht="30.75" customHeight="1" x14ac:dyDescent="0.45">
      <c r="A6" s="2" t="s">
        <v>123</v>
      </c>
      <c r="B6" s="2">
        <v>7</v>
      </c>
      <c r="C6" s="2">
        <v>9</v>
      </c>
      <c r="D6" s="2">
        <v>10</v>
      </c>
      <c r="E6" s="2">
        <v>9</v>
      </c>
      <c r="F6" s="2">
        <v>8</v>
      </c>
      <c r="G6" s="2">
        <v>10</v>
      </c>
      <c r="H6" s="2">
        <v>9</v>
      </c>
      <c r="I6" s="2">
        <v>9</v>
      </c>
      <c r="J6" s="2">
        <v>6</v>
      </c>
      <c r="K6" s="2">
        <v>7</v>
      </c>
    </row>
    <row r="7" spans="1:11" ht="30.75" customHeight="1" x14ac:dyDescent="0.45">
      <c r="A7" s="2" t="s">
        <v>124</v>
      </c>
      <c r="B7" s="2">
        <v>8</v>
      </c>
      <c r="C7" s="2">
        <v>9</v>
      </c>
      <c r="D7" s="2">
        <v>5</v>
      </c>
      <c r="E7" s="2">
        <v>6</v>
      </c>
      <c r="F7" s="2">
        <v>10</v>
      </c>
      <c r="G7" s="2">
        <v>7</v>
      </c>
      <c r="H7" s="2">
        <v>10</v>
      </c>
      <c r="I7" s="2">
        <v>8</v>
      </c>
      <c r="J7" s="2">
        <v>10</v>
      </c>
      <c r="K7" s="2">
        <v>10</v>
      </c>
    </row>
    <row r="8" spans="1:11" ht="30.75" customHeight="1" x14ac:dyDescent="0.45">
      <c r="A8" s="7" t="s">
        <v>125</v>
      </c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x14ac:dyDescent="0.45">
      <c r="A9" s="4" t="s">
        <v>126</v>
      </c>
      <c r="B9" s="4">
        <f t="shared" ref="B9:K9" si="0">IF(COUNT(B2:B7)=6,AVERAGE(B2:B7),"")</f>
        <v>9</v>
      </c>
      <c r="C9" s="4">
        <f t="shared" si="0"/>
        <v>8.8333333333333339</v>
      </c>
      <c r="D9" s="4">
        <f t="shared" si="0"/>
        <v>8.8333333333333339</v>
      </c>
      <c r="E9" s="4">
        <f t="shared" si="0"/>
        <v>8.6666666666666661</v>
      </c>
      <c r="F9" s="4">
        <f t="shared" si="0"/>
        <v>9.1666666666666661</v>
      </c>
      <c r="G9" s="4">
        <f t="shared" si="0"/>
        <v>9</v>
      </c>
      <c r="H9" s="4">
        <f t="shared" si="0"/>
        <v>9</v>
      </c>
      <c r="I9" s="4">
        <f t="shared" si="0"/>
        <v>9.5</v>
      </c>
      <c r="J9" s="4">
        <f t="shared" si="0"/>
        <v>8.8333333333333339</v>
      </c>
      <c r="K9" s="4">
        <f t="shared" si="0"/>
        <v>9</v>
      </c>
    </row>
    <row r="10" spans="1:11" x14ac:dyDescent="0.45">
      <c r="A10" s="4" t="s">
        <v>127</v>
      </c>
      <c r="B10" s="4">
        <f>IFERROR(AVERAGE(B9:K9),"")</f>
        <v>8.9833333333333325</v>
      </c>
      <c r="C10" s="4"/>
      <c r="D10" s="4"/>
      <c r="E10" s="4"/>
      <c r="F10" s="4"/>
      <c r="G10" s="4"/>
      <c r="H10" s="4"/>
      <c r="I10" s="4"/>
      <c r="J10" s="4"/>
      <c r="K10" s="4"/>
    </row>
    <row r="11" spans="1:11" x14ac:dyDescent="0.45">
      <c r="A11" s="4" t="s">
        <v>128</v>
      </c>
      <c r="B11" s="4">
        <f>COUNT(B9:K9)</f>
        <v>10</v>
      </c>
      <c r="C11" s="4"/>
      <c r="D11" s="4"/>
      <c r="E11" s="4"/>
      <c r="F11" s="4"/>
      <c r="G11" s="4"/>
      <c r="H11" s="4"/>
      <c r="I11" s="4"/>
      <c r="J11" s="4"/>
      <c r="K11" s="4"/>
    </row>
  </sheetData>
  <dataValidations count="1">
    <dataValidation type="decimal" allowBlank="1" errorTitle="Invalid rating" error="Enter a number from 0 to 100." promptTitle="NASA-TLX rating" prompt="Enter a number from 0 to 100." sqref="B2:K7" xr:uid="{00000000-0002-0000-0300-000000000000}">
      <formula1>0</formula1>
      <formula2>100</formula2>
    </dataValidation>
  </dataValidations>
  <pageMargins left="0.25" right="0.25" top="0.5" bottom="0.5" header="0.5" footer="0.5"/>
  <pageSetup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5"/>
  <sheetViews>
    <sheetView showGridLines="0" workbookViewId="0">
      <pane xSplit="1" ySplit="1" topLeftCell="B8" activePane="bottomRight" state="frozen"/>
      <selection pane="topRight"/>
      <selection pane="bottomLeft"/>
      <selection pane="bottomRight" activeCell="D15" sqref="D15"/>
    </sheetView>
  </sheetViews>
  <sheetFormatPr defaultRowHeight="14.25" x14ac:dyDescent="0.45"/>
  <cols>
    <col min="1" max="1" width="17" customWidth="1"/>
    <col min="2" max="2" width="23" customWidth="1"/>
    <col min="3" max="3" width="24" customWidth="1"/>
    <col min="4" max="5" width="20" customWidth="1"/>
    <col min="6" max="6" width="18" customWidth="1"/>
    <col min="7" max="8" width="21" customWidth="1"/>
    <col min="9" max="9" width="26" customWidth="1"/>
    <col min="10" max="10" width="42" customWidth="1"/>
  </cols>
  <sheetData>
    <row r="1" spans="1:10" ht="33.950000000000003" customHeight="1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ht="42.75" x14ac:dyDescent="0.45">
      <c r="A2" s="2" t="s">
        <v>10</v>
      </c>
      <c r="B2" s="2" t="s">
        <v>11</v>
      </c>
      <c r="C2" s="2">
        <v>1</v>
      </c>
      <c r="D2" s="2">
        <v>150</v>
      </c>
      <c r="E2" s="2">
        <v>3</v>
      </c>
      <c r="F2" s="2">
        <v>3</v>
      </c>
      <c r="G2" s="2"/>
      <c r="H2" s="2"/>
      <c r="I2" s="2"/>
      <c r="J2" s="2"/>
    </row>
    <row r="3" spans="1:10" x14ac:dyDescent="0.45">
      <c r="A3" s="2" t="s">
        <v>12</v>
      </c>
      <c r="B3" s="2" t="s">
        <v>13</v>
      </c>
      <c r="C3" s="2">
        <v>1</v>
      </c>
      <c r="D3" s="2">
        <v>120</v>
      </c>
      <c r="E3" s="2">
        <v>2</v>
      </c>
      <c r="F3" s="2">
        <v>2</v>
      </c>
      <c r="G3" s="2">
        <v>55</v>
      </c>
      <c r="H3" s="2">
        <v>75</v>
      </c>
      <c r="I3" s="2">
        <f t="shared" ref="I3:I12" si="0">IF(AND(ISNUMBER(G3),ISNUMBER(H3),G3&lt;100,H3&gt;=G3),(H3-G3)/(100-G3),"")</f>
        <v>0.44444444444444442</v>
      </c>
      <c r="J3" s="2"/>
    </row>
    <row r="4" spans="1:10" x14ac:dyDescent="0.45">
      <c r="A4" s="2" t="s">
        <v>14</v>
      </c>
      <c r="B4" s="2" t="s">
        <v>13</v>
      </c>
      <c r="C4" s="2">
        <v>1</v>
      </c>
      <c r="D4" s="2">
        <v>100</v>
      </c>
      <c r="E4" s="2">
        <v>3</v>
      </c>
      <c r="F4" s="2">
        <v>3</v>
      </c>
      <c r="G4" s="2">
        <v>60</v>
      </c>
      <c r="H4" s="2">
        <v>80</v>
      </c>
      <c r="I4" s="2">
        <f t="shared" si="0"/>
        <v>0.5</v>
      </c>
      <c r="J4" s="2"/>
    </row>
    <row r="5" spans="1:10" x14ac:dyDescent="0.45">
      <c r="A5" s="2" t="s">
        <v>15</v>
      </c>
      <c r="B5" s="2" t="s">
        <v>13</v>
      </c>
      <c r="C5" s="2">
        <v>1</v>
      </c>
      <c r="D5" s="2">
        <v>112</v>
      </c>
      <c r="E5" s="2">
        <v>2</v>
      </c>
      <c r="F5" s="2">
        <v>3</v>
      </c>
      <c r="G5" s="2">
        <v>50</v>
      </c>
      <c r="H5" s="2">
        <v>70</v>
      </c>
      <c r="I5" s="2">
        <f t="shared" si="0"/>
        <v>0.4</v>
      </c>
      <c r="J5" s="2"/>
    </row>
    <row r="6" spans="1:10" x14ac:dyDescent="0.45">
      <c r="A6" s="2" t="s">
        <v>16</v>
      </c>
      <c r="B6" s="2" t="s">
        <v>13</v>
      </c>
      <c r="C6" s="2">
        <v>1</v>
      </c>
      <c r="D6" s="2">
        <v>100</v>
      </c>
      <c r="E6" s="2">
        <v>1</v>
      </c>
      <c r="F6" s="2">
        <v>2</v>
      </c>
      <c r="G6" s="2">
        <v>65</v>
      </c>
      <c r="H6" s="2">
        <v>85</v>
      </c>
      <c r="I6" s="2">
        <f t="shared" si="0"/>
        <v>0.5714285714285714</v>
      </c>
      <c r="J6" s="2"/>
    </row>
    <row r="7" spans="1:10" x14ac:dyDescent="0.45">
      <c r="A7" s="2" t="s">
        <v>17</v>
      </c>
      <c r="B7" s="2" t="s">
        <v>13</v>
      </c>
      <c r="C7" s="2">
        <v>1</v>
      </c>
      <c r="D7" s="2">
        <v>112</v>
      </c>
      <c r="E7" s="2">
        <v>3</v>
      </c>
      <c r="F7" s="2">
        <v>3</v>
      </c>
      <c r="G7" s="2">
        <v>45</v>
      </c>
      <c r="H7" s="2">
        <v>65</v>
      </c>
      <c r="I7" s="2">
        <f t="shared" si="0"/>
        <v>0.36363636363636365</v>
      </c>
      <c r="J7" s="2"/>
    </row>
    <row r="8" spans="1:10" x14ac:dyDescent="0.45">
      <c r="A8" s="2" t="s">
        <v>18</v>
      </c>
      <c r="B8" s="2" t="s">
        <v>13</v>
      </c>
      <c r="C8" s="2">
        <v>1</v>
      </c>
      <c r="D8" s="2">
        <v>130</v>
      </c>
      <c r="E8" s="2">
        <v>2</v>
      </c>
      <c r="F8" s="2">
        <v>1</v>
      </c>
      <c r="G8" s="2">
        <v>70</v>
      </c>
      <c r="H8" s="2">
        <v>85</v>
      </c>
      <c r="I8" s="2">
        <f t="shared" si="0"/>
        <v>0.5</v>
      </c>
      <c r="J8" s="2"/>
    </row>
    <row r="9" spans="1:10" x14ac:dyDescent="0.45">
      <c r="A9" s="2" t="s">
        <v>19</v>
      </c>
      <c r="B9" s="2" t="s">
        <v>13</v>
      </c>
      <c r="C9" s="2">
        <v>1</v>
      </c>
      <c r="D9" s="2">
        <v>120</v>
      </c>
      <c r="E9" s="2">
        <v>0</v>
      </c>
      <c r="F9" s="2">
        <v>0</v>
      </c>
      <c r="G9" s="2">
        <v>58</v>
      </c>
      <c r="H9" s="2">
        <v>78</v>
      </c>
      <c r="I9" s="2">
        <f t="shared" si="0"/>
        <v>0.47619047619047616</v>
      </c>
      <c r="J9" s="2"/>
    </row>
    <row r="10" spans="1:10" x14ac:dyDescent="0.45">
      <c r="A10" s="2" t="s">
        <v>20</v>
      </c>
      <c r="B10" s="2" t="s">
        <v>13</v>
      </c>
      <c r="C10" s="2">
        <v>1</v>
      </c>
      <c r="D10" s="2">
        <v>110</v>
      </c>
      <c r="E10" s="2">
        <v>1</v>
      </c>
      <c r="F10" s="2">
        <v>1</v>
      </c>
      <c r="G10" s="2">
        <v>62</v>
      </c>
      <c r="H10" s="2">
        <v>82</v>
      </c>
      <c r="I10" s="2">
        <f t="shared" si="0"/>
        <v>0.52631578947368418</v>
      </c>
      <c r="J10" s="2"/>
    </row>
    <row r="11" spans="1:10" x14ac:dyDescent="0.45">
      <c r="A11" s="2" t="s">
        <v>21</v>
      </c>
      <c r="B11" s="2" t="s">
        <v>13</v>
      </c>
      <c r="C11" s="2">
        <v>1</v>
      </c>
      <c r="D11" s="2">
        <v>160</v>
      </c>
      <c r="E11" s="2">
        <v>0</v>
      </c>
      <c r="F11" s="2">
        <v>0</v>
      </c>
      <c r="G11" s="2">
        <v>52</v>
      </c>
      <c r="H11" s="2">
        <v>72</v>
      </c>
      <c r="I11" s="2">
        <f t="shared" si="0"/>
        <v>0.41666666666666669</v>
      </c>
      <c r="J11" s="2"/>
    </row>
    <row r="12" spans="1:10" x14ac:dyDescent="0.45">
      <c r="A12" s="2" t="s">
        <v>22</v>
      </c>
      <c r="B12" s="2" t="s">
        <v>23</v>
      </c>
      <c r="C12" s="11"/>
      <c r="D12" s="2"/>
      <c r="E12" s="2"/>
      <c r="F12" s="2"/>
      <c r="G12" s="2">
        <v>60</v>
      </c>
      <c r="H12" s="2">
        <v>80</v>
      </c>
      <c r="I12" s="2">
        <f t="shared" si="0"/>
        <v>0.5</v>
      </c>
      <c r="J12" s="2"/>
    </row>
    <row r="13" spans="1:10" ht="57" x14ac:dyDescent="0.45">
      <c r="A13" s="2" t="s">
        <v>24</v>
      </c>
      <c r="B13" s="2" t="s">
        <v>25</v>
      </c>
      <c r="C13" s="2"/>
      <c r="D13" s="2"/>
      <c r="E13" s="2"/>
      <c r="F13" s="2"/>
      <c r="G13" s="2"/>
      <c r="H13" s="2"/>
      <c r="I13" s="2"/>
      <c r="J13" s="2"/>
    </row>
    <row r="14" spans="1:10" ht="57" x14ac:dyDescent="0.45">
      <c r="A14" s="2" t="s">
        <v>26</v>
      </c>
      <c r="B14" s="2" t="s">
        <v>27</v>
      </c>
      <c r="C14" s="2"/>
      <c r="D14" s="2"/>
      <c r="E14" s="2"/>
      <c r="F14" s="2"/>
      <c r="G14" s="2"/>
      <c r="H14" s="2"/>
      <c r="I14" s="2"/>
      <c r="J14" s="2"/>
    </row>
    <row r="15" spans="1:10" ht="42.75" x14ac:dyDescent="0.45">
      <c r="A15" s="2" t="s">
        <v>28</v>
      </c>
      <c r="B15" s="2" t="s">
        <v>29</v>
      </c>
      <c r="C15" s="2"/>
      <c r="D15" s="2"/>
      <c r="E15" s="2"/>
      <c r="F15" s="2"/>
      <c r="G15" s="2"/>
      <c r="H15" s="2"/>
      <c r="I15" s="2"/>
      <c r="J15" s="2"/>
    </row>
  </sheetData>
  <autoFilter ref="A1:J1" xr:uid="{00000000-0009-0000-0000-000004000000}"/>
  <pageMargins left="0.25" right="0.25" top="0.5" bottom="0.5" header="0.5" footer="0.5"/>
  <pageSetup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8"/>
  <sheetViews>
    <sheetView showGridLines="0" topLeftCell="B1" workbookViewId="0">
      <pane ySplit="1" topLeftCell="A2" activePane="bottomLeft" state="frozen"/>
      <selection pane="bottomLeft" activeCell="J8" sqref="J8"/>
    </sheetView>
  </sheetViews>
  <sheetFormatPr defaultRowHeight="14.25" x14ac:dyDescent="0.45"/>
  <cols>
    <col min="1" max="1" width="32" customWidth="1"/>
    <col min="2" max="2" width="30.3984375" customWidth="1"/>
    <col min="3" max="5" width="14" customWidth="1"/>
    <col min="6" max="6" width="16" customWidth="1"/>
    <col min="7" max="9" width="14" customWidth="1"/>
    <col min="10" max="10" width="52" customWidth="1"/>
  </cols>
  <sheetData>
    <row r="1" spans="1:10" ht="30" customHeight="1" x14ac:dyDescent="0.45">
      <c r="A1" s="5" t="s">
        <v>129</v>
      </c>
      <c r="B1" s="5" t="s">
        <v>130</v>
      </c>
      <c r="C1" s="5" t="s">
        <v>131</v>
      </c>
      <c r="D1" s="5" t="s">
        <v>132</v>
      </c>
      <c r="E1" s="5" t="s">
        <v>133</v>
      </c>
      <c r="F1" s="5" t="s">
        <v>134</v>
      </c>
      <c r="G1" s="5" t="s">
        <v>131</v>
      </c>
      <c r="H1" s="5" t="s">
        <v>132</v>
      </c>
      <c r="I1" s="5" t="s">
        <v>133</v>
      </c>
      <c r="J1" s="5" t="s">
        <v>135</v>
      </c>
    </row>
    <row r="2" spans="1:10" x14ac:dyDescent="0.45">
      <c r="A2" s="2"/>
      <c r="B2" s="2"/>
      <c r="C2" s="8"/>
      <c r="D2" s="8"/>
      <c r="E2" s="8"/>
      <c r="F2" s="2"/>
      <c r="G2" s="2"/>
      <c r="H2" s="2"/>
      <c r="I2" s="2"/>
      <c r="J2" s="2"/>
    </row>
    <row r="3" spans="1:10" x14ac:dyDescent="0.45">
      <c r="A3" s="2" t="s">
        <v>136</v>
      </c>
      <c r="B3" s="2">
        <v>10</v>
      </c>
      <c r="C3" s="8">
        <v>95.5</v>
      </c>
      <c r="D3" s="8">
        <v>3.87</v>
      </c>
      <c r="E3" s="8">
        <v>95</v>
      </c>
      <c r="F3" s="2"/>
      <c r="G3" s="2"/>
      <c r="H3" s="2"/>
      <c r="I3" s="2"/>
      <c r="J3" s="12" t="s">
        <v>167</v>
      </c>
    </row>
    <row r="4" spans="1:10" x14ac:dyDescent="0.45">
      <c r="A4" s="2" t="s">
        <v>168</v>
      </c>
      <c r="B4" s="2">
        <v>10</v>
      </c>
      <c r="C4" s="8">
        <v>8.98</v>
      </c>
      <c r="D4" s="8">
        <v>0.23</v>
      </c>
      <c r="E4" s="8">
        <v>9</v>
      </c>
      <c r="F4" s="2"/>
      <c r="G4" s="2"/>
      <c r="H4" s="2"/>
      <c r="I4" s="2"/>
      <c r="J4" s="2" t="s">
        <v>169</v>
      </c>
    </row>
    <row r="5" spans="1:10" x14ac:dyDescent="0.45">
      <c r="A5" s="2" t="s">
        <v>137</v>
      </c>
      <c r="B5" s="2">
        <v>10</v>
      </c>
      <c r="C5" s="8">
        <v>121.4</v>
      </c>
      <c r="D5" s="8">
        <v>20.02</v>
      </c>
      <c r="E5" s="8">
        <v>116</v>
      </c>
      <c r="F5" s="2"/>
      <c r="G5" s="2"/>
      <c r="H5" s="2"/>
      <c r="I5" s="2"/>
      <c r="J5" s="2" t="s">
        <v>170</v>
      </c>
    </row>
    <row r="6" spans="1:10" x14ac:dyDescent="0.45">
      <c r="A6" s="2" t="s">
        <v>138</v>
      </c>
      <c r="B6" s="2">
        <v>10</v>
      </c>
      <c r="C6" s="8">
        <v>100</v>
      </c>
      <c r="D6" s="8">
        <v>0</v>
      </c>
      <c r="E6" s="8">
        <v>100</v>
      </c>
      <c r="F6" s="2"/>
      <c r="G6" s="2"/>
      <c r="H6" s="2"/>
      <c r="I6" s="2"/>
      <c r="J6" s="2" t="s">
        <v>171</v>
      </c>
    </row>
    <row r="7" spans="1:10" x14ac:dyDescent="0.45">
      <c r="A7" s="2" t="s">
        <v>139</v>
      </c>
      <c r="B7" s="2">
        <v>10</v>
      </c>
      <c r="C7" s="8">
        <v>1.7</v>
      </c>
      <c r="D7" s="8">
        <v>1.1599999999999999</v>
      </c>
      <c r="E7" s="8">
        <v>2</v>
      </c>
      <c r="F7" s="2"/>
      <c r="G7" s="2"/>
      <c r="H7" s="2"/>
      <c r="I7" s="2"/>
      <c r="J7" s="2" t="s">
        <v>172</v>
      </c>
    </row>
    <row r="8" spans="1:10" x14ac:dyDescent="0.45">
      <c r="A8" s="2" t="s">
        <v>140</v>
      </c>
      <c r="B8" s="2">
        <v>10</v>
      </c>
      <c r="C8" s="2">
        <v>1.8</v>
      </c>
      <c r="D8" s="2">
        <v>1.23</v>
      </c>
      <c r="E8" s="2">
        <v>2</v>
      </c>
      <c r="F8" s="2"/>
      <c r="G8" s="2"/>
      <c r="H8" s="2"/>
      <c r="I8" s="2"/>
      <c r="J8" s="7" t="s">
        <v>173</v>
      </c>
    </row>
  </sheetData>
  <pageMargins left="0.25" right="0.25" top="0.5" bottom="0.5" header="0.5" footer="0.5"/>
  <pageSetup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B10"/>
  <sheetViews>
    <sheetView showGridLines="0" workbookViewId="0">
      <pane ySplit="1" topLeftCell="A2" activePane="bottomLeft" state="frozen"/>
      <selection pane="bottomLeft" activeCell="D4" sqref="D4"/>
    </sheetView>
  </sheetViews>
  <sheetFormatPr defaultRowHeight="14.25" x14ac:dyDescent="0.45"/>
  <cols>
    <col min="1" max="1" width="30" customWidth="1"/>
    <col min="2" max="2" width="110" customWidth="1"/>
    <col min="3" max="11" width="16" customWidth="1"/>
  </cols>
  <sheetData>
    <row r="1" spans="1:2" ht="30" customHeight="1" x14ac:dyDescent="0.45">
      <c r="A1" s="5" t="s">
        <v>141</v>
      </c>
      <c r="B1" s="13"/>
    </row>
    <row r="2" spans="1:2" ht="28.5" x14ac:dyDescent="0.45">
      <c r="A2" s="2" t="s">
        <v>95</v>
      </c>
      <c r="B2" s="13" t="s">
        <v>142</v>
      </c>
    </row>
    <row r="3" spans="1:2" ht="28.5" x14ac:dyDescent="0.45">
      <c r="A3" s="2" t="s">
        <v>143</v>
      </c>
      <c r="B3" s="2" t="s">
        <v>144</v>
      </c>
    </row>
    <row r="4" spans="1:2" ht="42.75" x14ac:dyDescent="0.45">
      <c r="A4" s="2" t="s">
        <v>97</v>
      </c>
      <c r="B4" s="2" t="s">
        <v>145</v>
      </c>
    </row>
    <row r="5" spans="1:2" ht="28.5" x14ac:dyDescent="0.45">
      <c r="A5" s="2" t="s">
        <v>146</v>
      </c>
      <c r="B5" s="2" t="s">
        <v>147</v>
      </c>
    </row>
    <row r="6" spans="1:2" ht="28.5" x14ac:dyDescent="0.45">
      <c r="A6" s="2" t="s">
        <v>148</v>
      </c>
      <c r="B6" s="2" t="s">
        <v>149</v>
      </c>
    </row>
    <row r="7" spans="1:2" ht="28.5" x14ac:dyDescent="0.45">
      <c r="A7" s="2" t="s">
        <v>150</v>
      </c>
      <c r="B7" s="2" t="s">
        <v>151</v>
      </c>
    </row>
    <row r="8" spans="1:2" x14ac:dyDescent="0.45">
      <c r="A8" s="2" t="s">
        <v>152</v>
      </c>
      <c r="B8" s="2" t="s">
        <v>153</v>
      </c>
    </row>
    <row r="9" spans="1:2" ht="28.5" x14ac:dyDescent="0.45">
      <c r="A9" s="2" t="s">
        <v>154</v>
      </c>
      <c r="B9" s="2" t="s">
        <v>155</v>
      </c>
    </row>
    <row r="10" spans="1:2" ht="28.5" x14ac:dyDescent="0.45">
      <c r="A10" s="2" t="s">
        <v>156</v>
      </c>
      <c r="B10" s="2" t="s">
        <v>157</v>
      </c>
    </row>
  </sheetData>
  <pageMargins left="0.25" right="0.25" top="0.5" bottom="0.5" header="0.5" footer="0.5"/>
  <pageSetup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K9"/>
  <sheetViews>
    <sheetView showGridLines="0" tabSelected="1" zoomScale="78" workbookViewId="0">
      <pane ySplit="1" topLeftCell="A2" activePane="bottomLeft" state="frozen"/>
      <selection pane="bottomLeft" activeCell="B3" sqref="B3"/>
    </sheetView>
  </sheetViews>
  <sheetFormatPr defaultRowHeight="14.25" x14ac:dyDescent="0.45"/>
  <cols>
    <col min="1" max="1" width="64" customWidth="1"/>
    <col min="2" max="11" width="24" customWidth="1"/>
  </cols>
  <sheetData>
    <row r="1" spans="1:11" ht="33.950000000000003" customHeight="1" x14ac:dyDescent="0.45">
      <c r="A1" s="5" t="s">
        <v>158</v>
      </c>
      <c r="B1" s="5" t="s">
        <v>10</v>
      </c>
      <c r="C1" s="5" t="s">
        <v>12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5" t="s">
        <v>19</v>
      </c>
      <c r="J1" s="5" t="s">
        <v>20</v>
      </c>
      <c r="K1" s="5" t="s">
        <v>21</v>
      </c>
    </row>
    <row r="2" spans="1:11" ht="57.95" customHeight="1" x14ac:dyDescent="0.45">
      <c r="A2" s="2" t="s">
        <v>159</v>
      </c>
      <c r="B2" s="2" t="s">
        <v>174</v>
      </c>
      <c r="C2" s="2" t="s">
        <v>175</v>
      </c>
      <c r="D2" s="2" t="s">
        <v>176</v>
      </c>
      <c r="E2" s="2" t="s">
        <v>177</v>
      </c>
      <c r="F2" s="2" t="s">
        <v>178</v>
      </c>
      <c r="G2" s="2" t="s">
        <v>179</v>
      </c>
      <c r="H2" s="2" t="s">
        <v>180</v>
      </c>
      <c r="I2" s="2" t="s">
        <v>181</v>
      </c>
      <c r="J2" s="2" t="s">
        <v>182</v>
      </c>
      <c r="K2" s="2" t="s">
        <v>183</v>
      </c>
    </row>
    <row r="3" spans="1:11" ht="57.95" customHeight="1" x14ac:dyDescent="0.45">
      <c r="A3" s="2" t="s">
        <v>160</v>
      </c>
      <c r="B3" s="2" t="s">
        <v>184</v>
      </c>
      <c r="C3" s="2" t="s">
        <v>185</v>
      </c>
      <c r="D3" s="2" t="s">
        <v>186</v>
      </c>
      <c r="E3" s="2" t="s">
        <v>187</v>
      </c>
      <c r="F3" s="2" t="s">
        <v>188</v>
      </c>
      <c r="G3" s="2" t="s">
        <v>189</v>
      </c>
      <c r="H3" s="2" t="s">
        <v>190</v>
      </c>
      <c r="I3" s="2" t="s">
        <v>191</v>
      </c>
      <c r="J3" s="2" t="s">
        <v>192</v>
      </c>
      <c r="K3" s="2" t="s">
        <v>193</v>
      </c>
    </row>
    <row r="4" spans="1:11" ht="57.95" customHeight="1" x14ac:dyDescent="0.45">
      <c r="A4" s="2" t="s">
        <v>161</v>
      </c>
      <c r="B4" s="2" t="s">
        <v>194</v>
      </c>
      <c r="C4" s="2" t="s">
        <v>195</v>
      </c>
      <c r="D4" s="2" t="s">
        <v>196</v>
      </c>
      <c r="E4" s="2" t="s">
        <v>197</v>
      </c>
      <c r="F4" s="2" t="s">
        <v>198</v>
      </c>
      <c r="G4" s="2" t="s">
        <v>199</v>
      </c>
      <c r="H4" s="2" t="s">
        <v>200</v>
      </c>
      <c r="I4" s="2" t="s">
        <v>201</v>
      </c>
      <c r="J4" s="2" t="s">
        <v>202</v>
      </c>
      <c r="K4" s="2" t="s">
        <v>203</v>
      </c>
    </row>
    <row r="5" spans="1:11" ht="57.95" customHeight="1" x14ac:dyDescent="0.45">
      <c r="A5" s="2" t="s">
        <v>162</v>
      </c>
      <c r="B5" s="2" t="s">
        <v>204</v>
      </c>
      <c r="C5" s="2" t="s">
        <v>205</v>
      </c>
      <c r="D5" s="2" t="s">
        <v>206</v>
      </c>
      <c r="E5" s="2" t="s">
        <v>207</v>
      </c>
      <c r="F5" s="2" t="s">
        <v>208</v>
      </c>
      <c r="G5" s="2" t="s">
        <v>209</v>
      </c>
      <c r="H5" s="2" t="s">
        <v>210</v>
      </c>
      <c r="I5" s="2" t="s">
        <v>211</v>
      </c>
      <c r="J5" s="2" t="s">
        <v>212</v>
      </c>
      <c r="K5" s="2" t="s">
        <v>213</v>
      </c>
    </row>
    <row r="6" spans="1:11" ht="57.95" customHeight="1" x14ac:dyDescent="0.45">
      <c r="A6" s="2" t="s">
        <v>163</v>
      </c>
      <c r="B6" s="2" t="s">
        <v>214</v>
      </c>
      <c r="C6" s="2" t="s">
        <v>215</v>
      </c>
      <c r="D6" s="2" t="s">
        <v>216</v>
      </c>
      <c r="E6" s="2" t="s">
        <v>217</v>
      </c>
      <c r="F6" s="2" t="s">
        <v>218</v>
      </c>
      <c r="G6" s="2" t="s">
        <v>219</v>
      </c>
      <c r="H6" s="2" t="s">
        <v>220</v>
      </c>
      <c r="I6" s="2" t="s">
        <v>221</v>
      </c>
      <c r="J6" s="2" t="s">
        <v>222</v>
      </c>
      <c r="K6" s="2" t="s">
        <v>223</v>
      </c>
    </row>
    <row r="7" spans="1:11" ht="57.95" customHeight="1" x14ac:dyDescent="0.45">
      <c r="A7" s="2" t="s">
        <v>164</v>
      </c>
      <c r="B7" s="2" t="s">
        <v>224</v>
      </c>
      <c r="C7" s="2" t="s">
        <v>225</v>
      </c>
      <c r="D7" s="2" t="s">
        <v>226</v>
      </c>
      <c r="E7" s="2" t="s">
        <v>227</v>
      </c>
      <c r="F7" s="2" t="s">
        <v>228</v>
      </c>
      <c r="G7" s="2" t="s">
        <v>229</v>
      </c>
      <c r="H7" s="2" t="s">
        <v>230</v>
      </c>
      <c r="I7" s="2" t="s">
        <v>231</v>
      </c>
      <c r="J7" s="2" t="s">
        <v>232</v>
      </c>
      <c r="K7" s="2" t="s">
        <v>229</v>
      </c>
    </row>
    <row r="8" spans="1:11" ht="57.95" customHeight="1" x14ac:dyDescent="0.45">
      <c r="A8" s="2" t="s">
        <v>165</v>
      </c>
      <c r="B8" s="2" t="s">
        <v>233</v>
      </c>
      <c r="C8" s="2" t="s">
        <v>234</v>
      </c>
      <c r="D8" s="2" t="s">
        <v>235</v>
      </c>
      <c r="E8" s="2" t="s">
        <v>236</v>
      </c>
      <c r="F8" s="2" t="s">
        <v>237</v>
      </c>
      <c r="G8" s="2" t="s">
        <v>238</v>
      </c>
      <c r="H8" s="2" t="s">
        <v>239</v>
      </c>
      <c r="I8" s="2" t="s">
        <v>240</v>
      </c>
      <c r="J8" s="2" t="s">
        <v>241</v>
      </c>
      <c r="K8" s="2" t="s">
        <v>242</v>
      </c>
    </row>
    <row r="9" spans="1:11" ht="57.95" customHeight="1" x14ac:dyDescent="0.45">
      <c r="A9" s="2" t="s">
        <v>166</v>
      </c>
      <c r="B9" s="2" t="s">
        <v>243</v>
      </c>
      <c r="C9" s="2" t="s">
        <v>244</v>
      </c>
      <c r="D9" s="2" t="s">
        <v>245</v>
      </c>
      <c r="E9" s="2" t="s">
        <v>246</v>
      </c>
      <c r="F9" s="2" t="s">
        <v>247</v>
      </c>
      <c r="G9" s="2" t="s">
        <v>248</v>
      </c>
      <c r="H9" s="2" t="s">
        <v>249</v>
      </c>
      <c r="I9" s="2" t="s">
        <v>250</v>
      </c>
      <c r="J9" s="2" t="s">
        <v>251</v>
      </c>
      <c r="K9" s="2" t="s">
        <v>252</v>
      </c>
    </row>
  </sheetData>
  <pageMargins left="0.75" right="0.75" top="1" bottom="1" header="0.5" footer="0.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Me</vt:lpstr>
      <vt:lpstr>Game Protocol</vt:lpstr>
      <vt:lpstr>SUS Responses</vt:lpstr>
      <vt:lpstr>NASA-TLX Responses</vt:lpstr>
      <vt:lpstr>Primary Task Metrics</vt:lpstr>
      <vt:lpstr>Summary</vt:lpstr>
      <vt:lpstr>Scoring Guide</vt:lpstr>
      <vt:lpstr>Open Feedback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SRINIDI SUBRAMANIAM - 70522400045</cp:lastModifiedBy>
  <dcterms:created xsi:type="dcterms:W3CDTF">2026-10-27T15:38:57Z</dcterms:created>
  <dcterms:modified xsi:type="dcterms:W3CDTF">2026-10-28T15:13:20Z</dcterms:modified>
</cp:coreProperties>
</file>